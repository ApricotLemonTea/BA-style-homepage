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9_projects\BA-style-homepage\public\data\"/>
    </mc:Choice>
  </mc:AlternateContent>
  <xr:revisionPtr revIDLastSave="0" documentId="13_ncr:1_{1E9C1312-60A4-43F0-B5DD-3CE55E254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日本語" sheetId="1" r:id="rId1"/>
    <sheet name="中文" sheetId="2" r:id="rId2"/>
    <sheet name="English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4" l="1"/>
  <c r="G14" i="4"/>
  <c r="G15" i="4"/>
  <c r="G16" i="4"/>
  <c r="G2" i="4"/>
  <c r="G3" i="4"/>
  <c r="G4" i="4"/>
  <c r="G8" i="4"/>
  <c r="G5" i="4"/>
  <c r="G6" i="4"/>
  <c r="G7" i="4"/>
  <c r="G9" i="4"/>
  <c r="G10" i="4"/>
  <c r="G11" i="4"/>
  <c r="G13" i="2"/>
  <c r="G14" i="2"/>
  <c r="G15" i="2"/>
  <c r="G16" i="2"/>
  <c r="G2" i="2"/>
  <c r="G3" i="2"/>
  <c r="G4" i="2"/>
  <c r="G8" i="2"/>
  <c r="G5" i="2"/>
  <c r="G6" i="2"/>
  <c r="G7" i="2"/>
  <c r="G9" i="2"/>
  <c r="G10" i="2"/>
  <c r="G11" i="2"/>
  <c r="G12" i="4"/>
  <c r="G12" i="2"/>
  <c r="K12" i="1"/>
  <c r="K4" i="1"/>
  <c r="K7" i="1"/>
  <c r="K10" i="1"/>
  <c r="K11" i="1"/>
  <c r="K13" i="1"/>
  <c r="K14" i="1"/>
  <c r="K15" i="1"/>
  <c r="K2" i="1"/>
  <c r="K3" i="1"/>
  <c r="K8" i="1"/>
  <c r="K5" i="1"/>
  <c r="K6" i="1"/>
  <c r="K9" i="1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 Yang</author>
  </authors>
  <commentList>
    <comment ref="A1" authorId="0" shapeId="0" xr:uid="{B44F684D-E6A9-4BBE-9B2A-8E46A740DB7C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1 イベント
2 旅行
3 開発</t>
        </r>
      </text>
    </comment>
    <comment ref="H1" authorId="0" shapeId="0" xr:uid="{4E409F5E-4E6B-40A0-98BD-B6B4399D73F9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设置为xxx开头的字符串则会在点击时显示xxx后的文本信息提示</t>
        </r>
      </text>
    </comment>
    <comment ref="I1" authorId="0" shapeId="0" xr:uid="{2F7FE0E3-866B-4B04-9592-74B0AC713559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设置为xxx开头的字符串则会在点击时显示xxx后的文本信息提示</t>
        </r>
      </text>
    </comment>
    <comment ref="J1" authorId="0" shapeId="0" xr:uid="{7720521B-3555-4BA5-A6D4-D9C27619126A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设置为xxx开头的字符串则会在点击时显示xxx后的文本信息提示</t>
        </r>
      </text>
    </comment>
    <comment ref="K1" authorId="0" shapeId="0" xr:uid="{7C6BB744-4B1F-45B2-B183-247CE55D5716}">
      <text>
        <r>
          <rPr>
            <b/>
            <sz val="9"/>
            <color indexed="81"/>
            <rFont val="宋体"/>
            <charset val="134"/>
          </rPr>
          <t>Rui Yang:</t>
        </r>
        <r>
          <rPr>
            <sz val="9"/>
            <color indexed="81"/>
            <rFont val="宋体"/>
            <charset val="134"/>
          </rPr>
          <t xml:space="preserve">
times / maxTimes
向下取整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 Yang</author>
  </authors>
  <commentList>
    <comment ref="A1" authorId="0" shapeId="0" xr:uid="{C3787609-1F54-4B34-A97F-C8FB4F9B81CB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1 イベント
2 旅行
3 開発</t>
        </r>
      </text>
    </comment>
    <comment ref="F1" authorId="0" shapeId="0" xr:uid="{2547977F-895D-45BC-8760-0676C6A00AFE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设置为xxx开头的字符串则会在点击时显示xxx后的文本信息提示</t>
        </r>
      </text>
    </comment>
    <comment ref="G1" authorId="0" shapeId="0" xr:uid="{F9EF44DB-1743-498C-95D4-86DB6060EB7C}">
      <text>
        <r>
          <rPr>
            <b/>
            <sz val="9"/>
            <color indexed="81"/>
            <rFont val="宋体"/>
            <charset val="134"/>
          </rPr>
          <t>Rui Yang:</t>
        </r>
        <r>
          <rPr>
            <sz val="9"/>
            <color indexed="81"/>
            <rFont val="宋体"/>
            <charset val="134"/>
          </rPr>
          <t xml:space="preserve">
times / maxTimes
向下取整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 Yang</author>
  </authors>
  <commentList>
    <comment ref="A1" authorId="0" shapeId="0" xr:uid="{5EE2926A-43B0-41BA-AAA8-270B71BA3185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1 イベント
2 旅行
3 開発</t>
        </r>
      </text>
    </comment>
    <comment ref="F1" authorId="0" shapeId="0" xr:uid="{F2B71034-2226-4DE9-B0D2-1D8D092796F7}">
      <text>
        <r>
          <rPr>
            <b/>
            <sz val="9"/>
            <color indexed="81"/>
            <rFont val="宋体"/>
            <family val="3"/>
            <charset val="134"/>
          </rPr>
          <t>Rui Yang:</t>
        </r>
        <r>
          <rPr>
            <sz val="9"/>
            <color indexed="81"/>
            <rFont val="宋体"/>
            <family val="3"/>
            <charset val="134"/>
          </rPr>
          <t xml:space="preserve">
设置为xxx开头的字符串则会在点击时显示xxx后的文本信息提示</t>
        </r>
      </text>
    </comment>
    <comment ref="G1" authorId="0" shapeId="0" xr:uid="{5511642A-F0BC-4ECF-B8F1-68E02D3A44D2}">
      <text>
        <r>
          <rPr>
            <b/>
            <sz val="9"/>
            <color indexed="81"/>
            <rFont val="宋体"/>
            <charset val="134"/>
          </rPr>
          <t>Rui Yang:</t>
        </r>
        <r>
          <rPr>
            <sz val="9"/>
            <color indexed="81"/>
            <rFont val="宋体"/>
            <charset val="134"/>
          </rPr>
          <t xml:space="preserve">
times / maxTimes
向下取整</t>
        </r>
      </text>
    </comment>
  </commentList>
</comments>
</file>

<file path=xl/sharedStrings.xml><?xml version="1.0" encoding="utf-8"?>
<sst xmlns="http://schemas.openxmlformats.org/spreadsheetml/2006/main" count="193" uniqueCount="72">
  <si>
    <t>tagIndex</t>
    <phoneticPr fontId="1" type="noConversion"/>
  </si>
  <si>
    <t>title</t>
    <phoneticPr fontId="1" type="noConversion"/>
  </si>
  <si>
    <t>times</t>
    <phoneticPr fontId="1" type="noConversion"/>
  </si>
  <si>
    <t>completeDate</t>
    <phoneticPr fontId="1" type="noConversion"/>
  </si>
  <si>
    <t>コミックマーケット105</t>
  </si>
  <si>
    <t>コミックマーケット104</t>
  </si>
  <si>
    <t>2024-08-11</t>
    <phoneticPr fontId="1" type="noConversion"/>
  </si>
  <si>
    <t>ミッション画面をゲーム内仕様にリニューアル</t>
  </si>
  <si>
    <t>Comic Market 105</t>
    <phoneticPr fontId="1" type="noConversion"/>
  </si>
  <si>
    <t>Comic Market 104</t>
    <phoneticPr fontId="1" type="noConversion"/>
  </si>
  <si>
    <t>任务界面重做成游戏内的样式</t>
  </si>
  <si>
    <t>Renewal tasks page to in-game style</t>
  </si>
  <si>
    <t>2024-12-29</t>
    <phoneticPr fontId="1" type="noConversion"/>
  </si>
  <si>
    <t>2024-12-25</t>
    <phoneticPr fontId="1" type="noConversion"/>
  </si>
  <si>
    <t>maxTimes</t>
    <phoneticPr fontId="1" type="noConversion"/>
  </si>
  <si>
    <t>__percent__</t>
    <phoneticPr fontId="1" type="noConversion"/>
  </si>
  <si>
    <t>detailUrl</t>
    <phoneticPr fontId="1" type="noConversion"/>
  </si>
  <si>
    <t>https://x.com/ApricotLemonTea/status/1870559541634764935</t>
    <phoneticPr fontId="1" type="noConversion"/>
  </si>
  <si>
    <t>https://x.com/ApricotLemonTea/status/1817130978068090929</t>
    <phoneticPr fontId="1" type="noConversion"/>
  </si>
  <si>
    <t>ミッション画面のキャラ立ち絵</t>
    <phoneticPr fontId="1" type="noConversion"/>
  </si>
  <si>
    <t>任务界面左侧的立绘</t>
    <phoneticPr fontId="1" type="noConversion"/>
  </si>
  <si>
    <t>Character picture at the left side of tasks page</t>
    <phoneticPr fontId="1" type="noConversion"/>
  </si>
  <si>
    <t>2025-03-06</t>
    <phoneticPr fontId="1" type="noConversion"/>
  </si>
  <si>
    <t>コミックマーケット107</t>
    <phoneticPr fontId="1" type="noConversion"/>
  </si>
  <si>
    <t>2025-12-30</t>
    <phoneticPr fontId="1" type="noConversion"/>
  </si>
  <si>
    <t>Comic Market 107</t>
    <phoneticPr fontId="1" type="noConversion"/>
  </si>
  <si>
    <t>https://x.com/ApricotLemonTea/status/2002720423524581563</t>
    <phoneticPr fontId="1" type="noConversion"/>
  </si>
  <si>
    <t>COMIC1☆28</t>
  </si>
  <si>
    <t>2026-04-29</t>
    <phoneticPr fontId="1" type="noConversion"/>
  </si>
  <si>
    <t>https://x.com/ApricotLemonTea/status/2008523809998217337</t>
    <phoneticPr fontId="1" type="noConversion"/>
  </si>
  <si>
    <t>https://x.com/ApricotLemonTea/status/2025880968578670598</t>
    <phoneticPr fontId="1" type="noConversion"/>
  </si>
  <si>
    <t>コミックマーケット108</t>
    <phoneticPr fontId="1" type="noConversion"/>
  </si>
  <si>
    <t>Comic Market 108</t>
    <phoneticPr fontId="1" type="noConversion"/>
  </si>
  <si>
    <t>メモロビリニューアル</t>
    <phoneticPr fontId="1" type="noConversion"/>
  </si>
  <si>
    <t>久留里線</t>
    <phoneticPr fontId="1" type="noConversion"/>
  </si>
  <si>
    <t>小湊鉄道「里山トロッコ」</t>
    <phoneticPr fontId="1" type="noConversion"/>
  </si>
  <si>
    <t>小海線「HIGH RAIL 星空」</t>
    <phoneticPr fontId="1" type="noConversion"/>
  </si>
  <si>
    <t>サンライズ瀬戸</t>
    <phoneticPr fontId="1" type="noConversion"/>
  </si>
  <si>
    <t>大厅背景图重做</t>
    <phoneticPr fontId="1" type="noConversion"/>
  </si>
  <si>
    <t>Sunrise Seto</t>
    <phoneticPr fontId="1" type="noConversion"/>
  </si>
  <si>
    <r>
      <rPr>
        <sz val="11"/>
        <color theme="1"/>
        <rFont val="Malgun Gothic"/>
        <family val="3"/>
        <charset val="129"/>
      </rPr>
      <t>Sunrise</t>
    </r>
    <r>
      <rPr>
        <sz val="11"/>
        <color theme="1"/>
        <rFont val="微软雅黑"/>
        <family val="3"/>
        <charset val="134"/>
      </rPr>
      <t>濑户</t>
    </r>
    <phoneticPr fontId="1" type="noConversion"/>
  </si>
  <si>
    <r>
      <t>久留里</t>
    </r>
    <r>
      <rPr>
        <sz val="11"/>
        <color theme="1"/>
        <rFont val="微软雅黑"/>
        <family val="3"/>
        <charset val="134"/>
      </rPr>
      <t>线</t>
    </r>
    <phoneticPr fontId="1" type="noConversion"/>
  </si>
  <si>
    <r>
      <t>小湊</t>
    </r>
    <r>
      <rPr>
        <sz val="11"/>
        <color theme="1"/>
        <rFont val="微软雅黑"/>
        <family val="3"/>
        <charset val="134"/>
      </rPr>
      <t>铁道</t>
    </r>
    <r>
      <rPr>
        <sz val="11"/>
        <color theme="1"/>
        <rFont val="Yu Gothic"/>
        <family val="3"/>
        <charset val="128"/>
      </rPr>
      <t>「里山Torocco」</t>
    </r>
    <phoneticPr fontId="1" type="noConversion"/>
  </si>
  <si>
    <r>
      <t>小海</t>
    </r>
    <r>
      <rPr>
        <sz val="11"/>
        <color theme="1"/>
        <rFont val="微软雅黑"/>
        <family val="3"/>
        <charset val="134"/>
      </rPr>
      <t>线</t>
    </r>
    <r>
      <rPr>
        <sz val="11"/>
        <color theme="1"/>
        <rFont val="Yu Gothic"/>
        <family val="3"/>
        <charset val="128"/>
      </rPr>
      <t>「HIGH RAIL 星空」</t>
    </r>
    <phoneticPr fontId="1" type="noConversion"/>
  </si>
  <si>
    <r>
      <rPr>
        <sz val="11"/>
        <color theme="1"/>
        <rFont val="Yu Gothic"/>
        <family val="3"/>
        <charset val="128"/>
      </rPr>
      <t>COSMIC PRINCESS KAGUYA</t>
    </r>
    <r>
      <rPr>
        <sz val="11"/>
        <color theme="1"/>
        <rFont val="等线"/>
        <family val="3"/>
        <charset val="134"/>
        <scheme val="minor"/>
      </rPr>
      <t>！Pilgrimage</t>
    </r>
    <phoneticPr fontId="1" type="noConversion"/>
  </si>
  <si>
    <t>「超时空辉夜姬！」圣地巡礼</t>
    <phoneticPr fontId="1" type="noConversion"/>
  </si>
  <si>
    <t>「超かぐや姫！」聖地巡礼</t>
    <phoneticPr fontId="1" type="noConversion"/>
  </si>
  <si>
    <t>Kururi Line</t>
    <phoneticPr fontId="1" type="noConversion"/>
  </si>
  <si>
    <t>Kominato-tetsudo Line「Satoyama Torocco」</t>
    <phoneticPr fontId="1" type="noConversion"/>
  </si>
  <si>
    <t>Renewal background pictures of the top page</t>
    <phoneticPr fontId="1" type="noConversion"/>
  </si>
  <si>
    <t>Koumi Line「HIGH RAIL Hoshizora」</t>
    <phoneticPr fontId="1" type="noConversion"/>
  </si>
  <si>
    <t>xxxまだ行ってないのよ</t>
    <phoneticPr fontId="1" type="noConversion"/>
  </si>
  <si>
    <t>https://apricotlemontea.fanbox.cc/posts/7873164</t>
    <phoneticPr fontId="1" type="noConversion"/>
  </si>
  <si>
    <t>xxx还没去呢</t>
    <phoneticPr fontId="1" type="noConversion"/>
  </si>
  <si>
    <t>xxx漫画和照片册准备在同人展会上出</t>
    <phoneticPr fontId="1" type="noConversion"/>
  </si>
  <si>
    <r>
      <t>xxx</t>
    </r>
    <r>
      <rPr>
        <sz val="11"/>
        <color theme="1"/>
        <rFont val="Yu Gothic"/>
        <family val="2"/>
        <charset val="128"/>
      </rPr>
      <t>Haven't gone yet</t>
    </r>
    <phoneticPr fontId="1" type="noConversion"/>
  </si>
  <si>
    <r>
      <t>xxx</t>
    </r>
    <r>
      <rPr>
        <sz val="11"/>
        <color theme="1"/>
        <rFont val="Yu Gothic"/>
        <family val="2"/>
        <charset val="128"/>
      </rPr>
      <t>The report manga and photo book will release on events</t>
    </r>
    <phoneticPr fontId="1" type="noConversion"/>
  </si>
  <si>
    <t>xxxレポ漫画と写真帳はイベントで出します</t>
    <phoneticPr fontId="1" type="noConversion"/>
  </si>
  <si>
    <t>2026-01</t>
    <phoneticPr fontId="1" type="noConversion"/>
  </si>
  <si>
    <t>2024-05</t>
    <phoneticPr fontId="1" type="noConversion"/>
  </si>
  <si>
    <t>～北海道～</t>
    <phoneticPr fontId="1" type="noConversion"/>
  </si>
  <si>
    <t>～HOKKAIDO～</t>
    <phoneticPr fontId="1" type="noConversion"/>
  </si>
  <si>
    <t>2026-08-16 (?)</t>
    <phoneticPr fontId="1" type="noConversion"/>
  </si>
  <si>
    <t>JR TOKYO Wide Pass（日立駅、日光、河口湖、すずらんの里、諏訪湖etc.）</t>
    <phoneticPr fontId="1" type="noConversion"/>
  </si>
  <si>
    <t>2025-01</t>
    <phoneticPr fontId="1" type="noConversion"/>
  </si>
  <si>
    <t>https://apricotlemontea.fanbox.cc/posts/9162696</t>
    <phoneticPr fontId="1" type="noConversion"/>
  </si>
  <si>
    <t>JR TOKYO Wide Pass</t>
    <phoneticPr fontId="1" type="noConversion"/>
  </si>
  <si>
    <t>2026-03-07</t>
    <phoneticPr fontId="1" type="noConversion"/>
  </si>
  <si>
    <t>https://x.com/ApricotLemonTea/status/2030091730322923713</t>
    <phoneticPr fontId="1" type="noConversion"/>
  </si>
  <si>
    <t>titleZh</t>
    <phoneticPr fontId="1" type="noConversion"/>
  </si>
  <si>
    <t>titleJa</t>
    <phoneticPr fontId="1" type="noConversion"/>
  </si>
  <si>
    <t>titleEn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</si>
</sst>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u/>
      <sz val="11"/>
      <color theme="10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Yu Gothic"/>
      <family val="2"/>
      <charset val="128"/>
    </font>
    <font>
      <sz val="11"/>
      <color theme="1"/>
      <name val="等线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Malgun Gothic"/>
      <family val="3"/>
      <charset val="129"/>
    </font>
    <font>
      <sz val="11"/>
      <color theme="1"/>
      <name val="Yu Gothic"/>
      <family val="3"/>
      <charset val="129"/>
    </font>
    <font>
      <sz val="11"/>
      <color theme="1"/>
      <name val="微软雅黑"/>
      <family val="3"/>
      <charset val="134"/>
    </font>
    <font>
      <sz val="11"/>
      <color theme="1"/>
      <name val="等线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0" fontId="4" fillId="0" borderId="0" xfId="1" quotePrefix="1" applyAlignment="1">
      <alignment vertical="center"/>
    </xf>
    <xf numFmtId="0" fontId="4" fillId="0" borderId="0" xfId="1" applyAlignment="1">
      <alignment vertical="center"/>
    </xf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1" quotePrefix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ApricotLemonTea/status/2030091730322923713" TargetMode="External"/><Relationship Id="rId13" Type="http://schemas.openxmlformats.org/officeDocument/2006/relationships/hyperlink" Target="https://apricotlemontea.fanbox.cc/posts/7873164" TargetMode="External"/><Relationship Id="rId18" Type="http://schemas.openxmlformats.org/officeDocument/2006/relationships/hyperlink" Target="https://x.com/ApricotLemonTea/status/2008523809998217337" TargetMode="External"/><Relationship Id="rId3" Type="http://schemas.openxmlformats.org/officeDocument/2006/relationships/hyperlink" Target="https://x.com/ApricotLemonTea/status/2002720423524581563" TargetMode="External"/><Relationship Id="rId21" Type="http://schemas.openxmlformats.org/officeDocument/2006/relationships/hyperlink" Target="https://apricotlemontea.fanbox.cc/posts/9162696" TargetMode="External"/><Relationship Id="rId7" Type="http://schemas.openxmlformats.org/officeDocument/2006/relationships/hyperlink" Target="https://apricotlemontea.fanbox.cc/posts/9162696" TargetMode="External"/><Relationship Id="rId12" Type="http://schemas.openxmlformats.org/officeDocument/2006/relationships/hyperlink" Target="https://x.com/ApricotLemonTea/status/2025880968578670598" TargetMode="External"/><Relationship Id="rId17" Type="http://schemas.openxmlformats.org/officeDocument/2006/relationships/hyperlink" Target="https://x.com/ApricotLemonTea/status/1817130978068090929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x.com/ApricotLemonTea/status/1817130978068090929" TargetMode="External"/><Relationship Id="rId16" Type="http://schemas.openxmlformats.org/officeDocument/2006/relationships/hyperlink" Target="https://x.com/ApricotLemonTea/status/1870559541634764935" TargetMode="External"/><Relationship Id="rId20" Type="http://schemas.openxmlformats.org/officeDocument/2006/relationships/hyperlink" Target="https://apricotlemontea.fanbox.cc/posts/7873164" TargetMode="External"/><Relationship Id="rId1" Type="http://schemas.openxmlformats.org/officeDocument/2006/relationships/hyperlink" Target="https://x.com/ApricotLemonTea/status/1870559541634764935" TargetMode="External"/><Relationship Id="rId6" Type="http://schemas.openxmlformats.org/officeDocument/2006/relationships/hyperlink" Target="https://apricotlemontea.fanbox.cc/posts/7873164" TargetMode="External"/><Relationship Id="rId11" Type="http://schemas.openxmlformats.org/officeDocument/2006/relationships/hyperlink" Target="https://x.com/ApricotLemonTea/status/2008523809998217337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x.com/ApricotLemonTea/status/2025880968578670598" TargetMode="External"/><Relationship Id="rId15" Type="http://schemas.openxmlformats.org/officeDocument/2006/relationships/hyperlink" Target="https://x.com/ApricotLemonTea/status/203009173032292371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x.com/ApricotLemonTea/status/1817130978068090929" TargetMode="External"/><Relationship Id="rId19" Type="http://schemas.openxmlformats.org/officeDocument/2006/relationships/hyperlink" Target="https://x.com/ApricotLemonTea/status/2025880968578670598" TargetMode="External"/><Relationship Id="rId4" Type="http://schemas.openxmlformats.org/officeDocument/2006/relationships/hyperlink" Target="https://x.com/ApricotLemonTea/status/2008523809998217337" TargetMode="External"/><Relationship Id="rId9" Type="http://schemas.openxmlformats.org/officeDocument/2006/relationships/hyperlink" Target="https://x.com/ApricotLemonTea/status/1870559541634764935" TargetMode="External"/><Relationship Id="rId14" Type="http://schemas.openxmlformats.org/officeDocument/2006/relationships/hyperlink" Target="https://apricotlemontea.fanbox.cc/posts/9162696" TargetMode="External"/><Relationship Id="rId22" Type="http://schemas.openxmlformats.org/officeDocument/2006/relationships/hyperlink" Target="https://x.com/ApricotLemonTea/status/203009173032292371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x.com/ApricotLemonTea/status/2008523809998217337" TargetMode="External"/><Relationship Id="rId7" Type="http://schemas.openxmlformats.org/officeDocument/2006/relationships/hyperlink" Target="https://x.com/ApricotLemonTea/status/2030091730322923713" TargetMode="External"/><Relationship Id="rId2" Type="http://schemas.openxmlformats.org/officeDocument/2006/relationships/hyperlink" Target="https://x.com/ApricotLemonTea/status/1817130978068090929" TargetMode="External"/><Relationship Id="rId1" Type="http://schemas.openxmlformats.org/officeDocument/2006/relationships/hyperlink" Target="https://x.com/ApricotLemonTea/status/1870559541634764935" TargetMode="External"/><Relationship Id="rId6" Type="http://schemas.openxmlformats.org/officeDocument/2006/relationships/hyperlink" Target="https://apricotlemontea.fanbox.cc/posts/9162696" TargetMode="External"/><Relationship Id="rId5" Type="http://schemas.openxmlformats.org/officeDocument/2006/relationships/hyperlink" Target="https://apricotlemontea.fanbox.cc/posts/7873164" TargetMode="External"/><Relationship Id="rId4" Type="http://schemas.openxmlformats.org/officeDocument/2006/relationships/hyperlink" Target="https://x.com/ApricotLemonTea/status/2025880968578670598" TargetMode="Externa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https://x.com/ApricotLemonTea/status/2008523809998217337" TargetMode="External"/><Relationship Id="rId7" Type="http://schemas.openxmlformats.org/officeDocument/2006/relationships/hyperlink" Target="https://x.com/ApricotLemonTea/status/2030091730322923713" TargetMode="External"/><Relationship Id="rId2" Type="http://schemas.openxmlformats.org/officeDocument/2006/relationships/hyperlink" Target="https://x.com/ApricotLemonTea/status/1817130978068090929" TargetMode="External"/><Relationship Id="rId1" Type="http://schemas.openxmlformats.org/officeDocument/2006/relationships/hyperlink" Target="https://x.com/ApricotLemonTea/status/1870559541634764935" TargetMode="External"/><Relationship Id="rId6" Type="http://schemas.openxmlformats.org/officeDocument/2006/relationships/hyperlink" Target="https://apricotlemontea.fanbox.cc/posts/9162696" TargetMode="External"/><Relationship Id="rId5" Type="http://schemas.openxmlformats.org/officeDocument/2006/relationships/hyperlink" Target="https://apricotlemontea.fanbox.cc/posts/7873164" TargetMode="External"/><Relationship Id="rId4" Type="http://schemas.openxmlformats.org/officeDocument/2006/relationships/hyperlink" Target="https://x.com/ApricotLemonTea/status/2025880968578670598" TargetMode="External"/><Relationship Id="rId9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D1" workbookViewId="0">
      <pane ySplit="1" topLeftCell="A2" activePane="bottomLeft" state="frozen"/>
      <selection pane="bottomLeft" activeCell="G19" sqref="G19"/>
    </sheetView>
  </sheetViews>
  <sheetFormatPr defaultColWidth="8.875" defaultRowHeight="19.899999999999999" customHeight="1" x14ac:dyDescent="0.2"/>
  <cols>
    <col min="1" max="1" width="16" style="2" customWidth="1"/>
    <col min="2" max="2" width="52.5" style="8" customWidth="1"/>
    <col min="3" max="4" width="52.5" style="2" customWidth="1"/>
    <col min="5" max="5" width="12.375" style="2" customWidth="1"/>
    <col min="6" max="6" width="13" style="2" customWidth="1"/>
    <col min="7" max="7" width="16" style="2" customWidth="1"/>
    <col min="8" max="8" width="48.625" style="2" customWidth="1"/>
    <col min="9" max="9" width="23.5" style="2" customWidth="1"/>
    <col min="10" max="10" width="22.75" style="2" customWidth="1"/>
    <col min="11" max="11" width="13.75" style="2" customWidth="1"/>
    <col min="12" max="16384" width="8.875" style="2"/>
  </cols>
  <sheetData>
    <row r="1" spans="1:11" s="1" customFormat="1" ht="19.899999999999999" customHeight="1" x14ac:dyDescent="0.2">
      <c r="A1" s="1" t="s">
        <v>0</v>
      </c>
      <c r="B1" s="7" t="s">
        <v>70</v>
      </c>
      <c r="C1" s="1" t="s">
        <v>69</v>
      </c>
      <c r="D1" s="1" t="s">
        <v>71</v>
      </c>
      <c r="E1" s="1" t="s">
        <v>2</v>
      </c>
      <c r="F1" s="1" t="s">
        <v>14</v>
      </c>
      <c r="G1" s="1" t="s">
        <v>3</v>
      </c>
      <c r="H1" s="1" t="s">
        <v>16</v>
      </c>
      <c r="I1" s="1" t="s">
        <v>16</v>
      </c>
      <c r="J1" s="1" t="s">
        <v>16</v>
      </c>
      <c r="K1" s="1" t="s">
        <v>15</v>
      </c>
    </row>
    <row r="2" spans="1:11" ht="19.899999999999999" customHeight="1" x14ac:dyDescent="0.2">
      <c r="A2" s="2">
        <v>1</v>
      </c>
      <c r="B2" s="8" t="s">
        <v>31</v>
      </c>
      <c r="C2" s="2" t="s">
        <v>32</v>
      </c>
      <c r="D2" s="2" t="s">
        <v>32</v>
      </c>
      <c r="E2" s="2">
        <v>0</v>
      </c>
      <c r="F2" s="2">
        <v>1</v>
      </c>
      <c r="G2" s="4" t="s">
        <v>62</v>
      </c>
      <c r="H2" s="6" t="s">
        <v>30</v>
      </c>
      <c r="I2" s="6" t="s">
        <v>30</v>
      </c>
      <c r="J2" s="6" t="s">
        <v>30</v>
      </c>
      <c r="K2" s="2">
        <f t="shared" ref="K2:K16" si="0">MIN(1, FLOOR(E2/F2, 1))</f>
        <v>0</v>
      </c>
    </row>
    <row r="3" spans="1:11" ht="19.899999999999999" customHeight="1" x14ac:dyDescent="0.2">
      <c r="A3" s="2">
        <v>1</v>
      </c>
      <c r="B3" s="8" t="s">
        <v>27</v>
      </c>
      <c r="C3" s="2" t="s">
        <v>27</v>
      </c>
      <c r="D3" s="2" t="s">
        <v>27</v>
      </c>
      <c r="E3" s="2">
        <v>0</v>
      </c>
      <c r="F3" s="2">
        <v>1</v>
      </c>
      <c r="G3" s="4" t="s">
        <v>28</v>
      </c>
      <c r="H3" s="5" t="s">
        <v>29</v>
      </c>
      <c r="I3" s="5" t="s">
        <v>29</v>
      </c>
      <c r="J3" s="5" t="s">
        <v>29</v>
      </c>
      <c r="K3" s="2">
        <f t="shared" si="0"/>
        <v>0</v>
      </c>
    </row>
    <row r="4" spans="1:11" ht="19.899999999999999" customHeight="1" x14ac:dyDescent="0.2">
      <c r="A4" s="2">
        <v>2</v>
      </c>
      <c r="B4" s="9" t="s">
        <v>37</v>
      </c>
      <c r="C4" s="10" t="s">
        <v>40</v>
      </c>
      <c r="D4" s="9" t="s">
        <v>39</v>
      </c>
      <c r="E4" s="2">
        <v>0</v>
      </c>
      <c r="F4" s="2">
        <v>1</v>
      </c>
      <c r="G4" s="4"/>
      <c r="H4" s="4" t="s">
        <v>51</v>
      </c>
      <c r="I4" s="4" t="s">
        <v>53</v>
      </c>
      <c r="J4" s="4" t="s">
        <v>55</v>
      </c>
      <c r="K4" s="2">
        <f t="shared" si="0"/>
        <v>0</v>
      </c>
    </row>
    <row r="5" spans="1:11" ht="19.899999999999999" customHeight="1" x14ac:dyDescent="0.2">
      <c r="A5" s="2">
        <v>2</v>
      </c>
      <c r="B5" s="9" t="s">
        <v>34</v>
      </c>
      <c r="C5" s="9" t="s">
        <v>41</v>
      </c>
      <c r="D5" s="9" t="s">
        <v>47</v>
      </c>
      <c r="E5" s="2">
        <v>0</v>
      </c>
      <c r="F5" s="2">
        <v>1</v>
      </c>
      <c r="G5" s="4"/>
      <c r="H5" s="4" t="s">
        <v>51</v>
      </c>
      <c r="I5" s="4" t="s">
        <v>53</v>
      </c>
      <c r="J5" s="4" t="s">
        <v>55</v>
      </c>
      <c r="K5" s="2">
        <f t="shared" si="0"/>
        <v>0</v>
      </c>
    </row>
    <row r="6" spans="1:11" ht="19.899999999999999" customHeight="1" x14ac:dyDescent="0.2">
      <c r="A6" s="2">
        <v>2</v>
      </c>
      <c r="B6" s="9" t="s">
        <v>35</v>
      </c>
      <c r="C6" s="9" t="s">
        <v>42</v>
      </c>
      <c r="D6" s="9" t="s">
        <v>48</v>
      </c>
      <c r="E6" s="2">
        <v>0</v>
      </c>
      <c r="F6" s="2">
        <v>1</v>
      </c>
      <c r="G6" s="4"/>
      <c r="H6" s="4" t="s">
        <v>51</v>
      </c>
      <c r="I6" s="4" t="s">
        <v>53</v>
      </c>
      <c r="J6" s="4" t="s">
        <v>55</v>
      </c>
      <c r="K6" s="2">
        <f t="shared" si="0"/>
        <v>0</v>
      </c>
    </row>
    <row r="7" spans="1:11" ht="19.899999999999999" customHeight="1" x14ac:dyDescent="0.2">
      <c r="A7" s="2">
        <v>3</v>
      </c>
      <c r="B7" s="8" t="s">
        <v>33</v>
      </c>
      <c r="C7" s="8" t="s">
        <v>38</v>
      </c>
      <c r="D7" s="8" t="s">
        <v>49</v>
      </c>
      <c r="E7" s="2">
        <v>0.15</v>
      </c>
      <c r="F7" s="2">
        <v>1</v>
      </c>
      <c r="K7" s="2">
        <f t="shared" si="0"/>
        <v>0</v>
      </c>
    </row>
    <row r="8" spans="1:11" ht="19.899999999999999" customHeight="1" x14ac:dyDescent="0.2">
      <c r="A8" s="2">
        <v>2</v>
      </c>
      <c r="B8" s="8" t="s">
        <v>46</v>
      </c>
      <c r="C8" s="8" t="s">
        <v>45</v>
      </c>
      <c r="D8" s="11" t="s">
        <v>44</v>
      </c>
      <c r="E8" s="2">
        <v>1</v>
      </c>
      <c r="F8" s="2">
        <v>1</v>
      </c>
      <c r="G8" s="4" t="s">
        <v>67</v>
      </c>
      <c r="H8" s="5" t="s">
        <v>68</v>
      </c>
      <c r="I8" s="5" t="s">
        <v>68</v>
      </c>
      <c r="J8" s="5" t="s">
        <v>68</v>
      </c>
      <c r="K8" s="2">
        <f t="shared" si="0"/>
        <v>1</v>
      </c>
    </row>
    <row r="9" spans="1:11" ht="19.899999999999999" customHeight="1" x14ac:dyDescent="0.2">
      <c r="A9" s="2">
        <v>2</v>
      </c>
      <c r="B9" s="9" t="s">
        <v>60</v>
      </c>
      <c r="C9" s="9" t="s">
        <v>60</v>
      </c>
      <c r="D9" s="9" t="s">
        <v>61</v>
      </c>
      <c r="E9" s="2">
        <v>1</v>
      </c>
      <c r="F9" s="2">
        <v>1</v>
      </c>
      <c r="G9" s="4" t="s">
        <v>58</v>
      </c>
      <c r="H9" s="4" t="s">
        <v>57</v>
      </c>
      <c r="I9" s="4" t="s">
        <v>54</v>
      </c>
      <c r="J9" s="4" t="s">
        <v>56</v>
      </c>
      <c r="K9" s="2">
        <f t="shared" si="0"/>
        <v>1</v>
      </c>
    </row>
    <row r="10" spans="1:11" ht="19.899999999999999" customHeight="1" x14ac:dyDescent="0.2">
      <c r="A10" s="2">
        <v>1</v>
      </c>
      <c r="B10" s="8" t="s">
        <v>23</v>
      </c>
      <c r="C10" s="2" t="s">
        <v>25</v>
      </c>
      <c r="D10" s="2" t="s">
        <v>25</v>
      </c>
      <c r="E10" s="2">
        <v>1</v>
      </c>
      <c r="F10" s="2">
        <v>1</v>
      </c>
      <c r="G10" s="4" t="s">
        <v>24</v>
      </c>
      <c r="H10" s="6" t="s">
        <v>26</v>
      </c>
      <c r="I10" s="5" t="s">
        <v>26</v>
      </c>
      <c r="J10" s="5" t="s">
        <v>26</v>
      </c>
      <c r="K10" s="2">
        <f t="shared" si="0"/>
        <v>1</v>
      </c>
    </row>
    <row r="11" spans="1:11" ht="19.899999999999999" customHeight="1" x14ac:dyDescent="0.2">
      <c r="A11" s="2">
        <v>3</v>
      </c>
      <c r="B11" s="8" t="s">
        <v>19</v>
      </c>
      <c r="C11" s="2" t="s">
        <v>20</v>
      </c>
      <c r="D11" s="2" t="s">
        <v>21</v>
      </c>
      <c r="E11" s="2">
        <v>1</v>
      </c>
      <c r="F11" s="2">
        <v>1</v>
      </c>
      <c r="G11" s="4" t="s">
        <v>22</v>
      </c>
      <c r="K11" s="2">
        <f t="shared" si="0"/>
        <v>1</v>
      </c>
    </row>
    <row r="12" spans="1:11" ht="19.899999999999999" customHeight="1" x14ac:dyDescent="0.2">
      <c r="A12" s="2">
        <v>2</v>
      </c>
      <c r="B12" s="8" t="s">
        <v>63</v>
      </c>
      <c r="C12" s="8" t="s">
        <v>63</v>
      </c>
      <c r="D12" s="8" t="s">
        <v>66</v>
      </c>
      <c r="E12" s="2">
        <v>1</v>
      </c>
      <c r="F12" s="2">
        <v>1</v>
      </c>
      <c r="G12" s="4" t="s">
        <v>64</v>
      </c>
      <c r="H12" s="12" t="s">
        <v>65</v>
      </c>
      <c r="I12" s="12" t="s">
        <v>65</v>
      </c>
      <c r="J12" s="12" t="s">
        <v>65</v>
      </c>
      <c r="K12" s="2">
        <f t="shared" si="0"/>
        <v>1</v>
      </c>
    </row>
    <row r="13" spans="1:11" ht="19.899999999999999" customHeight="1" x14ac:dyDescent="0.2">
      <c r="A13" s="2">
        <v>1</v>
      </c>
      <c r="B13" s="8" t="s">
        <v>4</v>
      </c>
      <c r="C13" s="2" t="s">
        <v>8</v>
      </c>
      <c r="D13" s="2" t="s">
        <v>8</v>
      </c>
      <c r="E13" s="2">
        <v>1</v>
      </c>
      <c r="F13" s="2">
        <v>1</v>
      </c>
      <c r="G13" s="3" t="s">
        <v>12</v>
      </c>
      <c r="H13" s="5" t="s">
        <v>17</v>
      </c>
      <c r="I13" s="5" t="s">
        <v>17</v>
      </c>
      <c r="J13" s="5" t="s">
        <v>17</v>
      </c>
      <c r="K13" s="2">
        <f t="shared" si="0"/>
        <v>1</v>
      </c>
    </row>
    <row r="14" spans="1:11" ht="19.899999999999999" customHeight="1" x14ac:dyDescent="0.2">
      <c r="A14" s="2">
        <v>3</v>
      </c>
      <c r="B14" s="8" t="s">
        <v>7</v>
      </c>
      <c r="C14" s="2" t="s">
        <v>10</v>
      </c>
      <c r="D14" s="2" t="s">
        <v>11</v>
      </c>
      <c r="E14" s="2">
        <v>1</v>
      </c>
      <c r="F14" s="2">
        <v>1</v>
      </c>
      <c r="G14" s="4" t="s">
        <v>13</v>
      </c>
      <c r="H14" s="4"/>
      <c r="I14" s="4"/>
      <c r="J14" s="4"/>
      <c r="K14" s="2">
        <f t="shared" si="0"/>
        <v>1</v>
      </c>
    </row>
    <row r="15" spans="1:11" ht="19.899999999999999" customHeight="1" x14ac:dyDescent="0.2">
      <c r="A15" s="2">
        <v>1</v>
      </c>
      <c r="B15" s="8" t="s">
        <v>5</v>
      </c>
      <c r="C15" s="2" t="s">
        <v>9</v>
      </c>
      <c r="D15" s="2" t="s">
        <v>9</v>
      </c>
      <c r="E15" s="2">
        <v>1</v>
      </c>
      <c r="F15" s="2">
        <v>1</v>
      </c>
      <c r="G15" s="3" t="s">
        <v>6</v>
      </c>
      <c r="H15" s="5" t="s">
        <v>18</v>
      </c>
      <c r="I15" s="5" t="s">
        <v>18</v>
      </c>
      <c r="J15" s="5" t="s">
        <v>18</v>
      </c>
      <c r="K15" s="2">
        <f t="shared" si="0"/>
        <v>1</v>
      </c>
    </row>
    <row r="16" spans="1:11" ht="19.899999999999999" customHeight="1" x14ac:dyDescent="0.2">
      <c r="A16" s="2">
        <v>2</v>
      </c>
      <c r="B16" s="9" t="s">
        <v>36</v>
      </c>
      <c r="C16" s="9" t="s">
        <v>43</v>
      </c>
      <c r="D16" s="9" t="s">
        <v>50</v>
      </c>
      <c r="E16" s="2">
        <v>2</v>
      </c>
      <c r="F16" s="2">
        <v>1</v>
      </c>
      <c r="G16" s="4" t="s">
        <v>59</v>
      </c>
      <c r="H16" s="5" t="s">
        <v>52</v>
      </c>
      <c r="I16" s="5" t="s">
        <v>52</v>
      </c>
      <c r="J16" s="5" t="s">
        <v>52</v>
      </c>
      <c r="K16" s="2">
        <f t="shared" si="0"/>
        <v>1</v>
      </c>
    </row>
  </sheetData>
  <sortState xmlns:xlrd2="http://schemas.microsoft.com/office/spreadsheetml/2017/richdata2" ref="A2:K16">
    <sortCondition ref="K2:K16"/>
    <sortCondition descending="1" ref="G2:G16"/>
  </sortState>
  <phoneticPr fontId="1" type="noConversion"/>
  <hyperlinks>
    <hyperlink ref="H13" r:id="rId1" xr:uid="{8D394F15-AE70-4076-8429-1743A563ECD9}"/>
    <hyperlink ref="H15" r:id="rId2" xr:uid="{56C17B09-920A-4E32-B055-E862B78C3D3E}"/>
    <hyperlink ref="H10" r:id="rId3" xr:uid="{C6A8C9A3-3A18-4BCB-82B6-1FCA8F3731D3}"/>
    <hyperlink ref="H3" r:id="rId4" xr:uid="{37DB8F46-A0B8-492A-83B8-5FE670536A4C}"/>
    <hyperlink ref="H2" r:id="rId5" xr:uid="{4450AA0A-EB1F-49D2-B26B-7653A122C009}"/>
    <hyperlink ref="H16" r:id="rId6" xr:uid="{8339C45A-0D45-4FD3-985C-1F1974AA7FDA}"/>
    <hyperlink ref="H12" r:id="rId7" xr:uid="{CCB4D208-72BB-4EC8-8CE0-E32D29C148A3}"/>
    <hyperlink ref="H8" r:id="rId8" xr:uid="{79826DD5-1904-493F-9B84-9E527956FC03}"/>
    <hyperlink ref="I13" r:id="rId9" xr:uid="{216FE969-9A9B-4560-BCF3-F5E866181A1B}"/>
    <hyperlink ref="I15" r:id="rId10" xr:uid="{4CC6BADA-1A54-4B8D-AEB6-C56A85EB03F9}"/>
    <hyperlink ref="I3" r:id="rId11" xr:uid="{48B1C874-BEC8-4EC1-8493-E719CF85B986}"/>
    <hyperlink ref="I2" r:id="rId12" xr:uid="{C2446C34-0C66-492A-8DA8-8D749E7D63EF}"/>
    <hyperlink ref="I16" r:id="rId13" xr:uid="{E7FA3EC4-D913-40C7-AEE9-CF056C0566B1}"/>
    <hyperlink ref="I12" r:id="rId14" xr:uid="{7AE70218-A52E-4B67-8371-29367C2E52A6}"/>
    <hyperlink ref="I8" r:id="rId15" xr:uid="{02AFCE9F-24E0-437E-B6AE-CC51C5C2B015}"/>
    <hyperlink ref="J13" r:id="rId16" xr:uid="{74F815D4-3043-425F-8F9F-DA95D833ED6F}"/>
    <hyperlink ref="J15" r:id="rId17" xr:uid="{9BC7BEFB-6870-42B1-B2E2-CE986C197896}"/>
    <hyperlink ref="J3" r:id="rId18" xr:uid="{DED4B646-1F28-4E7F-AB34-CE85CC7D5787}"/>
    <hyperlink ref="J2" r:id="rId19" xr:uid="{7816238E-0B3A-4253-B1BC-B0165DAE3BA1}"/>
    <hyperlink ref="J16" r:id="rId20" xr:uid="{5103FCD1-21B1-4EAF-A117-AE3E51B1015B}"/>
    <hyperlink ref="J12" r:id="rId21" xr:uid="{169A144E-B05F-4CAC-9391-4F7B0659C8F1}"/>
    <hyperlink ref="J8" r:id="rId22" xr:uid="{B127D0F7-71C9-44BD-B1AA-94B2817A0B34}"/>
  </hyperlinks>
  <pageMargins left="0.7" right="0.7" top="0.75" bottom="0.75" header="0.3" footer="0.3"/>
  <pageSetup paperSize="9" orientation="portrait" horizontalDpi="4294967293" verticalDpi="0" r:id="rId23"/>
  <legacy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E31C-89C8-41A9-900C-A2E47F7466A0}">
  <dimension ref="A1:G16"/>
  <sheetViews>
    <sheetView workbookViewId="0">
      <pane ySplit="1" topLeftCell="A2" activePane="bottomLeft" state="frozen"/>
      <selection pane="bottomLeft" activeCell="F1" sqref="F1:F1048576"/>
    </sheetView>
  </sheetViews>
  <sheetFormatPr defaultColWidth="8.875" defaultRowHeight="19.899999999999999" customHeight="1" x14ac:dyDescent="0.2"/>
  <cols>
    <col min="1" max="1" width="16" style="2" customWidth="1"/>
    <col min="2" max="2" width="52.5" style="2" customWidth="1"/>
    <col min="3" max="4" width="12.5" style="2" customWidth="1"/>
    <col min="5" max="5" width="15.125" style="2" customWidth="1"/>
    <col min="6" max="6" width="23.5" style="2" customWidth="1"/>
    <col min="7" max="7" width="13.75" style="2" customWidth="1"/>
    <col min="8" max="16384" width="8.875" style="2"/>
  </cols>
  <sheetData>
    <row r="1" spans="1:7" s="1" customFormat="1" ht="19.899999999999999" customHeight="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16</v>
      </c>
      <c r="G1" s="1" t="s">
        <v>15</v>
      </c>
    </row>
    <row r="2" spans="1:7" ht="19.899999999999999" customHeight="1" x14ac:dyDescent="0.2">
      <c r="A2" s="2">
        <v>1</v>
      </c>
      <c r="B2" s="2" t="s">
        <v>32</v>
      </c>
      <c r="C2" s="2">
        <v>0</v>
      </c>
      <c r="D2" s="2">
        <v>1</v>
      </c>
      <c r="E2" s="4" t="s">
        <v>62</v>
      </c>
      <c r="F2" s="6" t="s">
        <v>30</v>
      </c>
      <c r="G2" s="2">
        <f t="shared" ref="G2:G16" si="0">MIN(1, FLOOR(C2/D2, 1))</f>
        <v>0</v>
      </c>
    </row>
    <row r="3" spans="1:7" ht="19.899999999999999" customHeight="1" x14ac:dyDescent="0.2">
      <c r="A3" s="2">
        <v>1</v>
      </c>
      <c r="B3" s="2" t="s">
        <v>27</v>
      </c>
      <c r="C3" s="2">
        <v>0</v>
      </c>
      <c r="D3" s="2">
        <v>1</v>
      </c>
      <c r="E3" s="4" t="s">
        <v>28</v>
      </c>
      <c r="F3" s="5" t="s">
        <v>29</v>
      </c>
      <c r="G3" s="2">
        <f t="shared" si="0"/>
        <v>0</v>
      </c>
    </row>
    <row r="4" spans="1:7" ht="19.899999999999999" customHeight="1" x14ac:dyDescent="0.2">
      <c r="A4" s="2">
        <v>2</v>
      </c>
      <c r="B4" s="10" t="s">
        <v>40</v>
      </c>
      <c r="C4" s="2">
        <v>0</v>
      </c>
      <c r="D4" s="2">
        <v>1</v>
      </c>
      <c r="E4" s="4"/>
      <c r="F4" s="4" t="s">
        <v>53</v>
      </c>
      <c r="G4" s="2">
        <f t="shared" si="0"/>
        <v>0</v>
      </c>
    </row>
    <row r="5" spans="1:7" ht="19.899999999999999" customHeight="1" x14ac:dyDescent="0.2">
      <c r="A5" s="2">
        <v>2</v>
      </c>
      <c r="B5" s="9" t="s">
        <v>41</v>
      </c>
      <c r="C5" s="2">
        <v>0</v>
      </c>
      <c r="D5" s="2">
        <v>1</v>
      </c>
      <c r="E5" s="4"/>
      <c r="F5" s="4" t="s">
        <v>53</v>
      </c>
      <c r="G5" s="2">
        <f t="shared" si="0"/>
        <v>0</v>
      </c>
    </row>
    <row r="6" spans="1:7" ht="19.899999999999999" customHeight="1" x14ac:dyDescent="0.2">
      <c r="A6" s="2">
        <v>2</v>
      </c>
      <c r="B6" s="9" t="s">
        <v>42</v>
      </c>
      <c r="C6" s="2">
        <v>0</v>
      </c>
      <c r="D6" s="2">
        <v>1</v>
      </c>
      <c r="E6" s="4"/>
      <c r="F6" s="4" t="s">
        <v>53</v>
      </c>
      <c r="G6" s="2">
        <f t="shared" si="0"/>
        <v>0</v>
      </c>
    </row>
    <row r="7" spans="1:7" ht="19.899999999999999" customHeight="1" x14ac:dyDescent="0.2">
      <c r="A7" s="2">
        <v>3</v>
      </c>
      <c r="B7" s="8" t="s">
        <v>38</v>
      </c>
      <c r="C7" s="2">
        <v>0.15</v>
      </c>
      <c r="D7" s="2">
        <v>1</v>
      </c>
      <c r="G7" s="2">
        <f t="shared" si="0"/>
        <v>0</v>
      </c>
    </row>
    <row r="8" spans="1:7" ht="19.899999999999999" customHeight="1" x14ac:dyDescent="0.2">
      <c r="A8" s="2">
        <v>2</v>
      </c>
      <c r="B8" s="8" t="s">
        <v>45</v>
      </c>
      <c r="C8" s="2">
        <v>1</v>
      </c>
      <c r="D8" s="2">
        <v>1</v>
      </c>
      <c r="E8" s="4" t="s">
        <v>67</v>
      </c>
      <c r="F8" s="5" t="s">
        <v>68</v>
      </c>
      <c r="G8" s="2">
        <f t="shared" si="0"/>
        <v>1</v>
      </c>
    </row>
    <row r="9" spans="1:7" ht="19.899999999999999" customHeight="1" x14ac:dyDescent="0.2">
      <c r="A9" s="2">
        <v>2</v>
      </c>
      <c r="B9" s="9" t="s">
        <v>60</v>
      </c>
      <c r="C9" s="2">
        <v>1</v>
      </c>
      <c r="D9" s="2">
        <v>1</v>
      </c>
      <c r="E9" s="4" t="s">
        <v>58</v>
      </c>
      <c r="F9" s="4" t="s">
        <v>54</v>
      </c>
      <c r="G9" s="2">
        <f t="shared" si="0"/>
        <v>1</v>
      </c>
    </row>
    <row r="10" spans="1:7" ht="19.899999999999999" customHeight="1" x14ac:dyDescent="0.2">
      <c r="A10" s="2">
        <v>1</v>
      </c>
      <c r="B10" s="2" t="s">
        <v>25</v>
      </c>
      <c r="C10" s="2">
        <v>1</v>
      </c>
      <c r="D10" s="2">
        <v>1</v>
      </c>
      <c r="E10" s="4" t="s">
        <v>24</v>
      </c>
      <c r="F10" s="5" t="s">
        <v>26</v>
      </c>
      <c r="G10" s="2">
        <f t="shared" si="0"/>
        <v>1</v>
      </c>
    </row>
    <row r="11" spans="1:7" ht="19.899999999999999" customHeight="1" x14ac:dyDescent="0.2">
      <c r="A11" s="2">
        <v>3</v>
      </c>
      <c r="B11" s="2" t="s">
        <v>20</v>
      </c>
      <c r="C11" s="2">
        <v>1</v>
      </c>
      <c r="D11" s="2">
        <v>1</v>
      </c>
      <c r="E11" s="4" t="s">
        <v>22</v>
      </c>
      <c r="G11" s="2">
        <f t="shared" si="0"/>
        <v>1</v>
      </c>
    </row>
    <row r="12" spans="1:7" ht="19.899999999999999" customHeight="1" x14ac:dyDescent="0.2">
      <c r="A12" s="2">
        <v>2</v>
      </c>
      <c r="B12" s="8" t="s">
        <v>63</v>
      </c>
      <c r="C12" s="2">
        <v>1</v>
      </c>
      <c r="D12" s="2">
        <v>1</v>
      </c>
      <c r="E12" s="4" t="s">
        <v>64</v>
      </c>
      <c r="F12" s="12" t="s">
        <v>65</v>
      </c>
      <c r="G12" s="2">
        <f t="shared" si="0"/>
        <v>1</v>
      </c>
    </row>
    <row r="13" spans="1:7" ht="19.899999999999999" customHeight="1" x14ac:dyDescent="0.2">
      <c r="A13" s="2">
        <v>1</v>
      </c>
      <c r="B13" s="2" t="s">
        <v>8</v>
      </c>
      <c r="C13" s="2">
        <v>1</v>
      </c>
      <c r="D13" s="2">
        <v>1</v>
      </c>
      <c r="E13" s="3" t="s">
        <v>12</v>
      </c>
      <c r="F13" s="5" t="s">
        <v>17</v>
      </c>
      <c r="G13" s="2">
        <f t="shared" si="0"/>
        <v>1</v>
      </c>
    </row>
    <row r="14" spans="1:7" ht="19.899999999999999" customHeight="1" x14ac:dyDescent="0.2">
      <c r="A14" s="2">
        <v>3</v>
      </c>
      <c r="B14" s="2" t="s">
        <v>10</v>
      </c>
      <c r="C14" s="2">
        <v>1</v>
      </c>
      <c r="D14" s="2">
        <v>1</v>
      </c>
      <c r="E14" s="4" t="s">
        <v>13</v>
      </c>
      <c r="F14" s="4"/>
      <c r="G14" s="2">
        <f t="shared" si="0"/>
        <v>1</v>
      </c>
    </row>
    <row r="15" spans="1:7" ht="19.899999999999999" customHeight="1" x14ac:dyDescent="0.2">
      <c r="A15" s="2">
        <v>1</v>
      </c>
      <c r="B15" s="2" t="s">
        <v>9</v>
      </c>
      <c r="C15" s="2">
        <v>1</v>
      </c>
      <c r="D15" s="2">
        <v>1</v>
      </c>
      <c r="E15" s="3" t="s">
        <v>6</v>
      </c>
      <c r="F15" s="5" t="s">
        <v>18</v>
      </c>
      <c r="G15" s="2">
        <f t="shared" si="0"/>
        <v>1</v>
      </c>
    </row>
    <row r="16" spans="1:7" ht="19.899999999999999" customHeight="1" x14ac:dyDescent="0.2">
      <c r="A16" s="2">
        <v>2</v>
      </c>
      <c r="B16" s="9" t="s">
        <v>43</v>
      </c>
      <c r="C16" s="2">
        <v>2</v>
      </c>
      <c r="D16" s="2">
        <v>1</v>
      </c>
      <c r="E16" s="4" t="s">
        <v>59</v>
      </c>
      <c r="F16" s="5" t="s">
        <v>52</v>
      </c>
      <c r="G16" s="2">
        <f t="shared" si="0"/>
        <v>1</v>
      </c>
    </row>
  </sheetData>
  <sortState xmlns:xlrd2="http://schemas.microsoft.com/office/spreadsheetml/2017/richdata2" ref="A2:G16">
    <sortCondition ref="G2:G16"/>
    <sortCondition descending="1" ref="E2:E16"/>
  </sortState>
  <phoneticPr fontId="1" type="noConversion"/>
  <hyperlinks>
    <hyperlink ref="F13" r:id="rId1" xr:uid="{9BEA0624-A66A-4722-9802-E6A4D673D124}"/>
    <hyperlink ref="F15" r:id="rId2" xr:uid="{3F86E828-B315-4C62-8B68-CB46CA9A5A11}"/>
    <hyperlink ref="F3" r:id="rId3" xr:uid="{5BDFE10B-6F25-4C54-9DBF-09C9AB18661D}"/>
    <hyperlink ref="F2" r:id="rId4" xr:uid="{E6AA89AB-EFC6-492A-9673-4E3663E79A75}"/>
    <hyperlink ref="F16" r:id="rId5" xr:uid="{F8171588-E755-4620-BEA5-0D87152B4788}"/>
    <hyperlink ref="F12" r:id="rId6" xr:uid="{F706B328-0AF8-4558-BE59-6F171092B52C}"/>
    <hyperlink ref="F8" r:id="rId7" xr:uid="{09F50F0C-4344-48D4-843F-30A5E5E8432B}"/>
  </hyperlinks>
  <pageMargins left="0.7" right="0.7" top="0.75" bottom="0.75" header="0.3" footer="0.3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799F-72C6-45E7-B9AE-E5D18315E0B6}">
  <dimension ref="A1:G16"/>
  <sheetViews>
    <sheetView workbookViewId="0">
      <pane ySplit="1" topLeftCell="A2" activePane="bottomLeft" state="frozen"/>
      <selection pane="bottomLeft" activeCell="F1" sqref="F1:F1048576"/>
    </sheetView>
  </sheetViews>
  <sheetFormatPr defaultColWidth="8.875" defaultRowHeight="19.899999999999999" customHeight="1" x14ac:dyDescent="0.2"/>
  <cols>
    <col min="1" max="1" width="16" style="2" customWidth="1"/>
    <col min="2" max="2" width="52.5" style="2" customWidth="1"/>
    <col min="3" max="4" width="12.5" style="2" customWidth="1"/>
    <col min="5" max="5" width="15.125" style="2" customWidth="1"/>
    <col min="6" max="6" width="22.75" style="2" customWidth="1"/>
    <col min="7" max="7" width="13.75" style="2" customWidth="1"/>
    <col min="8" max="16384" width="8.875" style="2"/>
  </cols>
  <sheetData>
    <row r="1" spans="1:7" s="1" customFormat="1" ht="19.899999999999999" customHeight="1" x14ac:dyDescent="0.2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  <c r="F1" s="1" t="s">
        <v>16</v>
      </c>
      <c r="G1" s="1" t="s">
        <v>15</v>
      </c>
    </row>
    <row r="2" spans="1:7" ht="19.899999999999999" customHeight="1" x14ac:dyDescent="0.2">
      <c r="A2" s="2">
        <v>1</v>
      </c>
      <c r="B2" s="2" t="s">
        <v>32</v>
      </c>
      <c r="C2" s="2">
        <v>0</v>
      </c>
      <c r="D2" s="2">
        <v>1</v>
      </c>
      <c r="E2" s="4" t="s">
        <v>62</v>
      </c>
      <c r="F2" s="6" t="s">
        <v>30</v>
      </c>
      <c r="G2" s="2">
        <f t="shared" ref="G2:G16" si="0">MIN(1, FLOOR(C2/D2, 1))</f>
        <v>0</v>
      </c>
    </row>
    <row r="3" spans="1:7" ht="19.899999999999999" customHeight="1" x14ac:dyDescent="0.2">
      <c r="A3" s="2">
        <v>1</v>
      </c>
      <c r="B3" s="2" t="s">
        <v>27</v>
      </c>
      <c r="C3" s="2">
        <v>0</v>
      </c>
      <c r="D3" s="2">
        <v>1</v>
      </c>
      <c r="E3" s="4" t="s">
        <v>28</v>
      </c>
      <c r="F3" s="5" t="s">
        <v>29</v>
      </c>
      <c r="G3" s="2">
        <f t="shared" si="0"/>
        <v>0</v>
      </c>
    </row>
    <row r="4" spans="1:7" ht="19.899999999999999" customHeight="1" x14ac:dyDescent="0.2">
      <c r="A4" s="2">
        <v>2</v>
      </c>
      <c r="B4" s="9" t="s">
        <v>39</v>
      </c>
      <c r="C4" s="2">
        <v>0</v>
      </c>
      <c r="D4" s="2">
        <v>1</v>
      </c>
      <c r="E4" s="4"/>
      <c r="F4" s="4" t="s">
        <v>55</v>
      </c>
      <c r="G4" s="2">
        <f t="shared" si="0"/>
        <v>0</v>
      </c>
    </row>
    <row r="5" spans="1:7" ht="19.899999999999999" customHeight="1" x14ac:dyDescent="0.2">
      <c r="A5" s="2">
        <v>2</v>
      </c>
      <c r="B5" s="9" t="s">
        <v>47</v>
      </c>
      <c r="C5" s="2">
        <v>0</v>
      </c>
      <c r="D5" s="2">
        <v>1</v>
      </c>
      <c r="E5" s="4"/>
      <c r="F5" s="4" t="s">
        <v>55</v>
      </c>
      <c r="G5" s="2">
        <f t="shared" si="0"/>
        <v>0</v>
      </c>
    </row>
    <row r="6" spans="1:7" ht="19.899999999999999" customHeight="1" x14ac:dyDescent="0.2">
      <c r="A6" s="2">
        <v>2</v>
      </c>
      <c r="B6" s="9" t="s">
        <v>48</v>
      </c>
      <c r="C6" s="2">
        <v>0</v>
      </c>
      <c r="D6" s="2">
        <v>1</v>
      </c>
      <c r="E6" s="4"/>
      <c r="F6" s="4" t="s">
        <v>55</v>
      </c>
      <c r="G6" s="2">
        <f t="shared" si="0"/>
        <v>0</v>
      </c>
    </row>
    <row r="7" spans="1:7" ht="19.899999999999999" customHeight="1" x14ac:dyDescent="0.2">
      <c r="A7" s="2">
        <v>3</v>
      </c>
      <c r="B7" s="8" t="s">
        <v>49</v>
      </c>
      <c r="C7" s="2">
        <v>0.15</v>
      </c>
      <c r="D7" s="2">
        <v>1</v>
      </c>
      <c r="G7" s="2">
        <f t="shared" si="0"/>
        <v>0</v>
      </c>
    </row>
    <row r="8" spans="1:7" ht="19.899999999999999" customHeight="1" x14ac:dyDescent="0.2">
      <c r="A8" s="2">
        <v>2</v>
      </c>
      <c r="B8" s="11" t="s">
        <v>44</v>
      </c>
      <c r="C8" s="2">
        <v>1</v>
      </c>
      <c r="D8" s="2">
        <v>1</v>
      </c>
      <c r="E8" s="4" t="s">
        <v>67</v>
      </c>
      <c r="F8" s="5" t="s">
        <v>68</v>
      </c>
      <c r="G8" s="2">
        <f t="shared" si="0"/>
        <v>1</v>
      </c>
    </row>
    <row r="9" spans="1:7" ht="19.899999999999999" customHeight="1" x14ac:dyDescent="0.2">
      <c r="A9" s="2">
        <v>2</v>
      </c>
      <c r="B9" s="9" t="s">
        <v>61</v>
      </c>
      <c r="C9" s="2">
        <v>1</v>
      </c>
      <c r="D9" s="2">
        <v>1</v>
      </c>
      <c r="E9" s="4" t="s">
        <v>58</v>
      </c>
      <c r="F9" s="4" t="s">
        <v>56</v>
      </c>
      <c r="G9" s="2">
        <f t="shared" si="0"/>
        <v>1</v>
      </c>
    </row>
    <row r="10" spans="1:7" ht="19.899999999999999" customHeight="1" x14ac:dyDescent="0.2">
      <c r="A10" s="2">
        <v>1</v>
      </c>
      <c r="B10" s="2" t="s">
        <v>25</v>
      </c>
      <c r="C10" s="2">
        <v>1</v>
      </c>
      <c r="D10" s="2">
        <v>1</v>
      </c>
      <c r="E10" s="4" t="s">
        <v>24</v>
      </c>
      <c r="F10" s="5" t="s">
        <v>26</v>
      </c>
      <c r="G10" s="2">
        <f t="shared" si="0"/>
        <v>1</v>
      </c>
    </row>
    <row r="11" spans="1:7" ht="19.899999999999999" customHeight="1" x14ac:dyDescent="0.2">
      <c r="A11" s="2">
        <v>3</v>
      </c>
      <c r="B11" s="2" t="s">
        <v>21</v>
      </c>
      <c r="C11" s="2">
        <v>1</v>
      </c>
      <c r="D11" s="2">
        <v>1</v>
      </c>
      <c r="E11" s="4" t="s">
        <v>22</v>
      </c>
      <c r="G11" s="2">
        <f t="shared" si="0"/>
        <v>1</v>
      </c>
    </row>
    <row r="12" spans="1:7" ht="19.899999999999999" customHeight="1" x14ac:dyDescent="0.2">
      <c r="A12" s="2">
        <v>2</v>
      </c>
      <c r="B12" s="8" t="s">
        <v>66</v>
      </c>
      <c r="C12" s="2">
        <v>1</v>
      </c>
      <c r="D12" s="2">
        <v>1</v>
      </c>
      <c r="E12" s="4" t="s">
        <v>64</v>
      </c>
      <c r="F12" s="12" t="s">
        <v>65</v>
      </c>
      <c r="G12" s="2">
        <f t="shared" si="0"/>
        <v>1</v>
      </c>
    </row>
    <row r="13" spans="1:7" ht="19.899999999999999" customHeight="1" x14ac:dyDescent="0.2">
      <c r="A13" s="2">
        <v>1</v>
      </c>
      <c r="B13" s="2" t="s">
        <v>8</v>
      </c>
      <c r="C13" s="2">
        <v>1</v>
      </c>
      <c r="D13" s="2">
        <v>1</v>
      </c>
      <c r="E13" s="3" t="s">
        <v>12</v>
      </c>
      <c r="F13" s="5" t="s">
        <v>17</v>
      </c>
      <c r="G13" s="2">
        <f t="shared" si="0"/>
        <v>1</v>
      </c>
    </row>
    <row r="14" spans="1:7" ht="19.899999999999999" customHeight="1" x14ac:dyDescent="0.2">
      <c r="A14" s="2">
        <v>3</v>
      </c>
      <c r="B14" s="2" t="s">
        <v>11</v>
      </c>
      <c r="C14" s="2">
        <v>1</v>
      </c>
      <c r="D14" s="2">
        <v>1</v>
      </c>
      <c r="E14" s="4" t="s">
        <v>13</v>
      </c>
      <c r="F14" s="4"/>
      <c r="G14" s="2">
        <f t="shared" si="0"/>
        <v>1</v>
      </c>
    </row>
    <row r="15" spans="1:7" ht="19.899999999999999" customHeight="1" x14ac:dyDescent="0.2">
      <c r="A15" s="2">
        <v>1</v>
      </c>
      <c r="B15" s="2" t="s">
        <v>9</v>
      </c>
      <c r="C15" s="2">
        <v>1</v>
      </c>
      <c r="D15" s="2">
        <v>1</v>
      </c>
      <c r="E15" s="3" t="s">
        <v>6</v>
      </c>
      <c r="F15" s="5" t="s">
        <v>18</v>
      </c>
      <c r="G15" s="2">
        <f t="shared" si="0"/>
        <v>1</v>
      </c>
    </row>
    <row r="16" spans="1:7" ht="19.899999999999999" customHeight="1" x14ac:dyDescent="0.2">
      <c r="A16" s="2">
        <v>2</v>
      </c>
      <c r="B16" s="9" t="s">
        <v>50</v>
      </c>
      <c r="C16" s="2">
        <v>2</v>
      </c>
      <c r="D16" s="2">
        <v>1</v>
      </c>
      <c r="E16" s="4" t="s">
        <v>59</v>
      </c>
      <c r="F16" s="5" t="s">
        <v>52</v>
      </c>
      <c r="G16" s="2">
        <f t="shared" si="0"/>
        <v>1</v>
      </c>
    </row>
  </sheetData>
  <sortState xmlns:xlrd2="http://schemas.microsoft.com/office/spreadsheetml/2017/richdata2" ref="A2:G16">
    <sortCondition ref="G2:G16"/>
    <sortCondition descending="1" ref="E2:E16"/>
  </sortState>
  <phoneticPr fontId="1" type="noConversion"/>
  <hyperlinks>
    <hyperlink ref="F13" r:id="rId1" xr:uid="{240A5452-EDA1-41CC-86F1-48A9EB0167F1}"/>
    <hyperlink ref="F15" r:id="rId2" xr:uid="{7F4F22C8-A15F-4693-B9D8-C10CADE1CE28}"/>
    <hyperlink ref="F3" r:id="rId3" xr:uid="{ECB754AD-D93E-4319-A540-98B70F2DFFA3}"/>
    <hyperlink ref="F2" r:id="rId4" xr:uid="{A7D5620D-F248-465B-A374-8E1281D44884}"/>
    <hyperlink ref="F16" r:id="rId5" xr:uid="{AD85990B-D720-4DF8-B996-B9F8F03074E7}"/>
    <hyperlink ref="F12" r:id="rId6" xr:uid="{AA406A99-F6AE-4C33-BC58-8D834E2A1464}"/>
    <hyperlink ref="F8" r:id="rId7" xr:uid="{8B81EB7E-EF9A-4ADB-BE0B-BD42D6F539B7}"/>
  </hyperlinks>
  <pageMargins left="0.7" right="0.7" top="0.75" bottom="0.75" header="0.3" footer="0.3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日本語</vt:lpstr>
      <vt:lpstr>中文</vt:lpstr>
      <vt:lpstr>English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Yang</dc:creator>
  <cp:lastModifiedBy>Rui Yang</cp:lastModifiedBy>
  <dcterms:created xsi:type="dcterms:W3CDTF">2015-06-05T18:19:34Z</dcterms:created>
  <dcterms:modified xsi:type="dcterms:W3CDTF">2026-03-29T01:10:49Z</dcterms:modified>
</cp:coreProperties>
</file>